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versité\"/>
    </mc:Choice>
  </mc:AlternateContent>
  <xr:revisionPtr revIDLastSave="0" documentId="8_{95807275-7B2C-B94D-A167-262EDF824BDE}" xr6:coauthVersionLast="47" xr6:coauthVersionMax="47" xr10:uidLastSave="{00000000-0000-0000-0000-000000000000}"/>
  <bookViews>
    <workbookView xWindow="2508" yWindow="2508" windowWidth="17280" windowHeight="9468" xr2:uid="{80629F42-F1A7-41FE-A99A-472A60A2C235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1" l="1"/>
  <c r="I37" i="1"/>
  <c r="I36" i="1"/>
  <c r="J36" i="1"/>
  <c r="K36" i="1"/>
  <c r="I35" i="1"/>
  <c r="J35" i="1"/>
  <c r="K35" i="1"/>
  <c r="I34" i="1"/>
  <c r="J34" i="1"/>
  <c r="K34" i="1"/>
  <c r="I33" i="1"/>
  <c r="I32" i="1"/>
  <c r="J32" i="1"/>
  <c r="K32" i="1"/>
  <c r="I31" i="1"/>
  <c r="J31" i="1"/>
  <c r="K31" i="1"/>
  <c r="I30" i="1"/>
  <c r="J30" i="1"/>
  <c r="K30" i="1"/>
  <c r="I29" i="1"/>
  <c r="I28" i="1"/>
  <c r="J28" i="1"/>
  <c r="K28" i="1"/>
  <c r="I27" i="1"/>
  <c r="J27" i="1"/>
  <c r="K27" i="1"/>
  <c r="I26" i="1"/>
  <c r="L22" i="1"/>
  <c r="I21" i="1"/>
  <c r="I20" i="1"/>
  <c r="J20" i="1"/>
  <c r="K20" i="1"/>
  <c r="I19" i="1"/>
  <c r="J19" i="1"/>
  <c r="K19" i="1"/>
  <c r="I18" i="1"/>
  <c r="I17" i="1"/>
  <c r="I16" i="1"/>
  <c r="J16" i="1"/>
  <c r="K16" i="1"/>
  <c r="I15" i="1"/>
  <c r="J15" i="1"/>
  <c r="K15" i="1"/>
  <c r="I14" i="1"/>
  <c r="I13" i="1"/>
  <c r="I12" i="1"/>
  <c r="J12" i="1"/>
  <c r="K12" i="1"/>
  <c r="I11" i="1"/>
  <c r="J11" i="1"/>
  <c r="K11" i="1"/>
  <c r="I10" i="1"/>
  <c r="J17" i="1"/>
  <c r="K17" i="1"/>
  <c r="J13" i="1"/>
  <c r="K13" i="1"/>
  <c r="J29" i="1"/>
  <c r="K29" i="1"/>
  <c r="I22" i="1"/>
  <c r="I38" i="1"/>
  <c r="J26" i="1"/>
  <c r="J10" i="1"/>
  <c r="J14" i="1"/>
  <c r="K14" i="1"/>
  <c r="J18" i="1"/>
  <c r="K18" i="1"/>
  <c r="J21" i="1"/>
  <c r="K21" i="1"/>
  <c r="J33" i="1"/>
  <c r="K33" i="1"/>
  <c r="J37" i="1"/>
  <c r="K37" i="1"/>
  <c r="J22" i="1"/>
  <c r="K10" i="1"/>
  <c r="K22" i="1"/>
  <c r="J38" i="1"/>
  <c r="K26" i="1"/>
  <c r="K38" i="1"/>
</calcChain>
</file>

<file path=xl/sharedStrings.xml><?xml version="1.0" encoding="utf-8"?>
<sst xmlns="http://schemas.openxmlformats.org/spreadsheetml/2006/main" count="73" uniqueCount="61">
  <si>
    <t xml:space="preserve">UFR </t>
  </si>
  <si>
    <t>Mathématiques et Informatique</t>
  </si>
  <si>
    <t>Domaine</t>
  </si>
  <si>
    <t>Sciences et Technologies</t>
  </si>
  <si>
    <t>Grade</t>
  </si>
  <si>
    <t>Licence</t>
  </si>
  <si>
    <t>Mention</t>
  </si>
  <si>
    <t>Informatique</t>
  </si>
  <si>
    <t>Parcours</t>
  </si>
  <si>
    <t>MIAGE</t>
  </si>
  <si>
    <t>Niveau</t>
  </si>
  <si>
    <t>L2</t>
  </si>
  <si>
    <t>Semestre</t>
  </si>
  <si>
    <t>Code UE</t>
  </si>
  <si>
    <t>UE</t>
  </si>
  <si>
    <t>Code ECUE</t>
  </si>
  <si>
    <t>ECUE</t>
  </si>
  <si>
    <t>CM</t>
  </si>
  <si>
    <t>TD</t>
  </si>
  <si>
    <t>TP</t>
  </si>
  <si>
    <t>HE</t>
  </si>
  <si>
    <t>TPE</t>
  </si>
  <si>
    <t>CCT</t>
  </si>
  <si>
    <t>Crédit</t>
  </si>
  <si>
    <t>S3</t>
  </si>
  <si>
    <t>Programmation orientée objet</t>
  </si>
  <si>
    <t>Fondements de la POO</t>
  </si>
  <si>
    <t>POO en Java</t>
  </si>
  <si>
    <t>outils formels pour l'informatique</t>
  </si>
  <si>
    <t>Mathématiques 4</t>
  </si>
  <si>
    <t>Analyse 2</t>
  </si>
  <si>
    <t>Algèbre</t>
  </si>
  <si>
    <t>Probabilités et statistique 2</t>
  </si>
  <si>
    <t>Probabilités 2</t>
  </si>
  <si>
    <t>Statistique 2</t>
  </si>
  <si>
    <t>Analyse de données</t>
  </si>
  <si>
    <t>Comptabilité generale</t>
  </si>
  <si>
    <t>Modèle comptable</t>
  </si>
  <si>
    <t>Opérations comptables</t>
  </si>
  <si>
    <t>Opérations d'inventaires</t>
  </si>
  <si>
    <t>Anglais</t>
  </si>
  <si>
    <t>Total credit</t>
  </si>
  <si>
    <t>S4</t>
  </si>
  <si>
    <t>Mathématiques 5</t>
  </si>
  <si>
    <t>Arithmétique</t>
  </si>
  <si>
    <t>Données semi-structurées et bases de données</t>
  </si>
  <si>
    <t>Base de données relationnelles</t>
  </si>
  <si>
    <t>Données semi-structurées</t>
  </si>
  <si>
    <t>base de données et applications</t>
  </si>
  <si>
    <t>Programmation web</t>
  </si>
  <si>
    <t>Génie logiciel</t>
  </si>
  <si>
    <t>Initiation au Langage SCALA</t>
  </si>
  <si>
    <t>Atelier de Génie Logiciel</t>
  </si>
  <si>
    <t>Programmation sous windows</t>
  </si>
  <si>
    <t>Programmation VBA</t>
  </si>
  <si>
    <t>Programmation C#</t>
  </si>
  <si>
    <t>Conrôle budgétaire</t>
  </si>
  <si>
    <t>Initiation Python</t>
  </si>
  <si>
    <t>Application à la cryptographie</t>
  </si>
  <si>
    <t>Projet</t>
  </si>
  <si>
    <t>Total Crédit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</si>
</sst>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rgb="FFFF00FF"/>
      <name val="Calibri"/>
      <family val="2"/>
      <scheme val="minor"/>
    </font>
    <font>
      <b/>
      <sz val="12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rgb="FFFFFF99"/>
        <bgColor indexed="36"/>
      </patternFill>
    </fill>
    <fill>
      <patternFill patternType="solid">
        <fgColor indexed="44"/>
        <bgColor indexed="31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3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3" fillId="0" borderId="0" xfId="1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vertical="center"/>
    </xf>
    <xf numFmtId="0" fontId="1" fillId="0" borderId="0" xfId="0" applyFont="1"/>
    <xf numFmtId="0" fontId="3" fillId="0" borderId="0" xfId="1" applyFont="1"/>
    <xf numFmtId="0" fontId="1" fillId="0" borderId="1" xfId="0" applyFont="1" applyBorder="1"/>
    <xf numFmtId="0" fontId="5" fillId="0" borderId="1" xfId="0" applyFont="1" applyBorder="1" applyAlignment="1">
      <alignment vertical="center" textRotation="90"/>
    </xf>
    <xf numFmtId="0" fontId="0" fillId="0" borderId="2" xfId="0" applyBorder="1" applyAlignment="1">
      <alignment vertical="center"/>
    </xf>
    <xf numFmtId="0" fontId="0" fillId="0" borderId="1" xfId="0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5" fillId="2" borderId="0" xfId="0" applyFont="1" applyFill="1" applyAlignment="1">
      <alignment vertical="center" textRotation="90"/>
    </xf>
    <xf numFmtId="0" fontId="0" fillId="0" borderId="3" xfId="0" applyBorder="1"/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/>
    </xf>
    <xf numFmtId="0" fontId="1" fillId="5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textRotation="90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2">
    <cellStyle name="Normal" xfId="0" builtinId="0"/>
    <cellStyle name="Normal 4" xfId="1" xr:uid="{D50CDF0A-CF91-45FB-8073-D8430A5C2F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1C2E-42CA-4B59-9DB3-C0D81CE27020}">
  <dimension ref="A1:L38"/>
  <sheetViews>
    <sheetView tabSelected="1" workbookViewId="0">
      <selection activeCell="C13" sqref="C13:C14"/>
    </sheetView>
  </sheetViews>
  <sheetFormatPr defaultColWidth="10.76171875" defaultRowHeight="15" x14ac:dyDescent="0.2"/>
  <cols>
    <col min="3" max="3" width="34.83984375" customWidth="1"/>
    <col min="5" max="5" width="29.45703125" customWidth="1"/>
    <col min="9" max="12" width="10.76171875" style="22"/>
  </cols>
  <sheetData>
    <row r="1" spans="1:12" x14ac:dyDescent="0.2">
      <c r="A1" s="7"/>
      <c r="B1" s="7"/>
      <c r="C1" s="8"/>
      <c r="D1" s="8"/>
      <c r="E1" s="8"/>
    </row>
    <row r="2" spans="1:12" x14ac:dyDescent="0.2">
      <c r="A2" s="7"/>
      <c r="B2" s="7"/>
      <c r="C2" s="1" t="s">
        <v>0</v>
      </c>
      <c r="D2" s="1"/>
      <c r="E2" s="9" t="s">
        <v>1</v>
      </c>
    </row>
    <row r="3" spans="1:12" x14ac:dyDescent="0.2">
      <c r="A3" s="7"/>
      <c r="B3" s="7"/>
      <c r="C3" s="1" t="s">
        <v>2</v>
      </c>
      <c r="D3" s="1"/>
      <c r="E3" s="9" t="s">
        <v>3</v>
      </c>
    </row>
    <row r="4" spans="1:12" x14ac:dyDescent="0.2">
      <c r="A4" s="7"/>
      <c r="B4" s="7"/>
      <c r="C4" s="1" t="s">
        <v>4</v>
      </c>
      <c r="D4" s="1"/>
      <c r="E4" s="9" t="s">
        <v>5</v>
      </c>
    </row>
    <row r="5" spans="1:12" x14ac:dyDescent="0.2">
      <c r="A5" s="7"/>
      <c r="B5" s="7"/>
      <c r="C5" s="1" t="s">
        <v>6</v>
      </c>
      <c r="D5" s="1"/>
      <c r="E5" s="9" t="s">
        <v>7</v>
      </c>
    </row>
    <row r="6" spans="1:12" x14ac:dyDescent="0.2">
      <c r="A6" s="7"/>
      <c r="B6" s="7"/>
      <c r="C6" s="1" t="s">
        <v>8</v>
      </c>
      <c r="D6" s="1"/>
      <c r="E6" s="9" t="s">
        <v>9</v>
      </c>
    </row>
    <row r="7" spans="1:12" x14ac:dyDescent="0.2">
      <c r="A7" s="7"/>
      <c r="B7" s="7"/>
      <c r="C7" s="1" t="s">
        <v>10</v>
      </c>
      <c r="D7" s="1"/>
      <c r="E7" s="9" t="s">
        <v>11</v>
      </c>
    </row>
    <row r="8" spans="1:12" x14ac:dyDescent="0.2">
      <c r="A8" s="7"/>
      <c r="B8" s="7"/>
      <c r="C8" s="1"/>
      <c r="D8" s="1"/>
      <c r="E8" s="9"/>
    </row>
    <row r="9" spans="1:12" x14ac:dyDescent="0.2">
      <c r="A9" s="23" t="s">
        <v>12</v>
      </c>
      <c r="B9" s="23" t="s">
        <v>13</v>
      </c>
      <c r="C9" s="23" t="s">
        <v>14</v>
      </c>
      <c r="D9" s="23" t="s">
        <v>15</v>
      </c>
      <c r="E9" s="23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2" t="s">
        <v>22</v>
      </c>
      <c r="L9" s="2" t="s">
        <v>23</v>
      </c>
    </row>
    <row r="10" spans="1:12" x14ac:dyDescent="0.2">
      <c r="A10" s="29" t="s">
        <v>24</v>
      </c>
      <c r="B10" s="11"/>
      <c r="C10" s="33" t="s">
        <v>25</v>
      </c>
      <c r="D10" s="12"/>
      <c r="E10" s="13" t="s">
        <v>26</v>
      </c>
      <c r="F10" s="24">
        <v>12</v>
      </c>
      <c r="G10" s="24">
        <v>12</v>
      </c>
      <c r="H10" s="24">
        <v>6</v>
      </c>
      <c r="I10" s="3">
        <f>L10*10</f>
        <v>30</v>
      </c>
      <c r="J10" s="24">
        <f>I10*1.5</f>
        <v>45</v>
      </c>
      <c r="K10" s="24">
        <f>I10+J10</f>
        <v>75</v>
      </c>
      <c r="L10" s="4">
        <v>3</v>
      </c>
    </row>
    <row r="11" spans="1:12" x14ac:dyDescent="0.2">
      <c r="A11" s="29"/>
      <c r="B11" s="11"/>
      <c r="C11" s="34"/>
      <c r="D11" s="14"/>
      <c r="E11" s="5" t="s">
        <v>27</v>
      </c>
      <c r="F11" s="24">
        <v>12</v>
      </c>
      <c r="G11" s="24">
        <v>6</v>
      </c>
      <c r="H11" s="24">
        <v>12</v>
      </c>
      <c r="I11" s="3">
        <f t="shared" ref="I11:I21" si="0">L11*10</f>
        <v>30</v>
      </c>
      <c r="J11" s="24">
        <f t="shared" ref="J11:J21" si="1">I11*1.5</f>
        <v>45</v>
      </c>
      <c r="K11" s="24">
        <f t="shared" ref="K11:K21" si="2">I11+J11</f>
        <v>75</v>
      </c>
      <c r="L11" s="4">
        <v>3</v>
      </c>
    </row>
    <row r="12" spans="1:12" x14ac:dyDescent="0.2">
      <c r="A12" s="29"/>
      <c r="B12" s="11"/>
      <c r="C12" s="13" t="s">
        <v>28</v>
      </c>
      <c r="D12" s="13"/>
      <c r="E12" s="10"/>
      <c r="F12" s="24">
        <v>12</v>
      </c>
      <c r="G12" s="24">
        <v>8</v>
      </c>
      <c r="H12" s="24"/>
      <c r="I12" s="3">
        <f t="shared" si="0"/>
        <v>20</v>
      </c>
      <c r="J12" s="24">
        <f t="shared" si="1"/>
        <v>30</v>
      </c>
      <c r="K12" s="24">
        <f t="shared" si="2"/>
        <v>50</v>
      </c>
      <c r="L12" s="4">
        <v>2</v>
      </c>
    </row>
    <row r="13" spans="1:12" x14ac:dyDescent="0.2">
      <c r="A13" s="29"/>
      <c r="B13" s="11"/>
      <c r="C13" s="33" t="s">
        <v>29</v>
      </c>
      <c r="D13" s="12"/>
      <c r="E13" s="27" t="s">
        <v>30</v>
      </c>
      <c r="F13" s="24">
        <v>18</v>
      </c>
      <c r="G13" s="24">
        <v>12</v>
      </c>
      <c r="H13" s="24"/>
      <c r="I13" s="3">
        <f t="shared" si="0"/>
        <v>30</v>
      </c>
      <c r="J13" s="24">
        <f t="shared" si="1"/>
        <v>45</v>
      </c>
      <c r="K13" s="24">
        <f t="shared" si="2"/>
        <v>75</v>
      </c>
      <c r="L13" s="28">
        <v>3</v>
      </c>
    </row>
    <row r="14" spans="1:12" x14ac:dyDescent="0.2">
      <c r="A14" s="29"/>
      <c r="B14" s="11"/>
      <c r="C14" s="34"/>
      <c r="D14" s="14"/>
      <c r="E14" s="27" t="s">
        <v>31</v>
      </c>
      <c r="F14" s="24">
        <v>18</v>
      </c>
      <c r="G14" s="24">
        <v>12</v>
      </c>
      <c r="H14" s="24"/>
      <c r="I14" s="3">
        <f t="shared" si="0"/>
        <v>30</v>
      </c>
      <c r="J14" s="24">
        <f t="shared" si="1"/>
        <v>45</v>
      </c>
      <c r="K14" s="24">
        <f t="shared" si="2"/>
        <v>75</v>
      </c>
      <c r="L14" s="28">
        <v>3</v>
      </c>
    </row>
    <row r="15" spans="1:12" x14ac:dyDescent="0.2">
      <c r="A15" s="29"/>
      <c r="B15" s="11"/>
      <c r="C15" s="33" t="s">
        <v>32</v>
      </c>
      <c r="D15" s="12"/>
      <c r="E15" s="27" t="s">
        <v>33</v>
      </c>
      <c r="F15" s="24">
        <v>12</v>
      </c>
      <c r="G15" s="24">
        <v>8</v>
      </c>
      <c r="H15" s="24"/>
      <c r="I15" s="3">
        <f t="shared" si="0"/>
        <v>20</v>
      </c>
      <c r="J15" s="24">
        <f t="shared" si="1"/>
        <v>30</v>
      </c>
      <c r="K15" s="24">
        <f t="shared" si="2"/>
        <v>50</v>
      </c>
      <c r="L15" s="28">
        <v>2</v>
      </c>
    </row>
    <row r="16" spans="1:12" x14ac:dyDescent="0.2">
      <c r="A16" s="29"/>
      <c r="B16" s="11"/>
      <c r="C16" s="34"/>
      <c r="D16" s="14"/>
      <c r="E16" s="27" t="s">
        <v>34</v>
      </c>
      <c r="F16" s="24">
        <v>12</v>
      </c>
      <c r="G16" s="24">
        <v>8</v>
      </c>
      <c r="H16" s="24"/>
      <c r="I16" s="3">
        <f t="shared" si="0"/>
        <v>20</v>
      </c>
      <c r="J16" s="24">
        <f t="shared" si="1"/>
        <v>30</v>
      </c>
      <c r="K16" s="24">
        <f t="shared" si="2"/>
        <v>50</v>
      </c>
      <c r="L16" s="28">
        <v>2</v>
      </c>
    </row>
    <row r="17" spans="1:12" x14ac:dyDescent="0.2">
      <c r="A17" s="29"/>
      <c r="B17" s="11"/>
      <c r="C17" s="13" t="s">
        <v>35</v>
      </c>
      <c r="D17" s="13"/>
      <c r="E17" s="13"/>
      <c r="F17" s="24">
        <v>12</v>
      </c>
      <c r="G17" s="24">
        <v>6</v>
      </c>
      <c r="H17" s="24">
        <v>12</v>
      </c>
      <c r="I17" s="3">
        <f t="shared" si="0"/>
        <v>30</v>
      </c>
      <c r="J17" s="24">
        <f t="shared" si="1"/>
        <v>45</v>
      </c>
      <c r="K17" s="24">
        <f t="shared" si="2"/>
        <v>75</v>
      </c>
      <c r="L17" s="4">
        <v>3</v>
      </c>
    </row>
    <row r="18" spans="1:12" x14ac:dyDescent="0.2">
      <c r="A18" s="29"/>
      <c r="B18" s="11"/>
      <c r="C18" s="33" t="s">
        <v>36</v>
      </c>
      <c r="D18" s="12"/>
      <c r="E18" s="13" t="s">
        <v>37</v>
      </c>
      <c r="F18" s="24">
        <v>12</v>
      </c>
      <c r="G18" s="24">
        <v>8</v>
      </c>
      <c r="H18" s="24"/>
      <c r="I18" s="3">
        <f t="shared" si="0"/>
        <v>20</v>
      </c>
      <c r="J18" s="24">
        <f t="shared" si="1"/>
        <v>30</v>
      </c>
      <c r="K18" s="24">
        <f t="shared" si="2"/>
        <v>50</v>
      </c>
      <c r="L18" s="4">
        <v>2</v>
      </c>
    </row>
    <row r="19" spans="1:12" x14ac:dyDescent="0.2">
      <c r="A19" s="29"/>
      <c r="B19" s="11"/>
      <c r="C19" s="35"/>
      <c r="D19" s="15"/>
      <c r="E19" s="13" t="s">
        <v>38</v>
      </c>
      <c r="F19" s="24">
        <v>12</v>
      </c>
      <c r="G19" s="24">
        <v>8</v>
      </c>
      <c r="H19" s="24"/>
      <c r="I19" s="3">
        <f t="shared" si="0"/>
        <v>20</v>
      </c>
      <c r="J19" s="24">
        <f t="shared" si="1"/>
        <v>30</v>
      </c>
      <c r="K19" s="24">
        <f t="shared" si="2"/>
        <v>50</v>
      </c>
      <c r="L19" s="4">
        <v>2</v>
      </c>
    </row>
    <row r="20" spans="1:12" x14ac:dyDescent="0.2">
      <c r="A20" s="29"/>
      <c r="B20" s="11"/>
      <c r="C20" s="34"/>
      <c r="D20" s="14"/>
      <c r="E20" s="13" t="s">
        <v>39</v>
      </c>
      <c r="F20" s="24">
        <v>12</v>
      </c>
      <c r="G20" s="24">
        <v>8</v>
      </c>
      <c r="H20" s="24"/>
      <c r="I20" s="3">
        <f t="shared" si="0"/>
        <v>20</v>
      </c>
      <c r="J20" s="24">
        <f t="shared" si="1"/>
        <v>30</v>
      </c>
      <c r="K20" s="24">
        <f t="shared" si="2"/>
        <v>50</v>
      </c>
      <c r="L20" s="4">
        <v>2</v>
      </c>
    </row>
    <row r="21" spans="1:12" x14ac:dyDescent="0.2">
      <c r="A21" s="29"/>
      <c r="B21" s="11"/>
      <c r="C21" s="13" t="s">
        <v>40</v>
      </c>
      <c r="D21" s="13"/>
      <c r="E21" s="13"/>
      <c r="F21" s="24">
        <v>18</v>
      </c>
      <c r="G21" s="24">
        <v>12</v>
      </c>
      <c r="H21" s="24"/>
      <c r="I21" s="3">
        <f t="shared" si="0"/>
        <v>30</v>
      </c>
      <c r="J21" s="24">
        <f t="shared" si="1"/>
        <v>45</v>
      </c>
      <c r="K21" s="24">
        <f t="shared" si="2"/>
        <v>75</v>
      </c>
      <c r="L21" s="4">
        <v>3</v>
      </c>
    </row>
    <row r="22" spans="1:12" x14ac:dyDescent="0.2">
      <c r="A22" s="16"/>
      <c r="B22" s="11"/>
      <c r="C22" s="10" t="s">
        <v>41</v>
      </c>
      <c r="D22" s="10"/>
      <c r="E22" s="10"/>
      <c r="F22" s="13"/>
      <c r="G22" s="13"/>
      <c r="H22" s="13"/>
      <c r="I22" s="3">
        <f>SUM(I10:I21)</f>
        <v>300</v>
      </c>
      <c r="J22" s="23">
        <f>SUM(J10:J21)</f>
        <v>450</v>
      </c>
      <c r="K22" s="23">
        <f>SUM(K10:K21)</f>
        <v>750</v>
      </c>
      <c r="L22" s="4">
        <f>SUM(L10:L21)</f>
        <v>30</v>
      </c>
    </row>
    <row r="23" spans="1:12" x14ac:dyDescent="0.2">
      <c r="A23" s="7"/>
      <c r="B23" s="7"/>
      <c r="C23" s="8"/>
      <c r="D23" s="8"/>
      <c r="E23" s="8"/>
    </row>
    <row r="24" spans="1:12" x14ac:dyDescent="0.2">
      <c r="A24" s="7"/>
      <c r="B24" s="7"/>
      <c r="C24" s="8"/>
      <c r="D24" s="8"/>
      <c r="E24" s="8"/>
    </row>
    <row r="25" spans="1:12" x14ac:dyDescent="0.2">
      <c r="A25" s="23" t="s">
        <v>12</v>
      </c>
      <c r="B25" s="23" t="s">
        <v>13</v>
      </c>
      <c r="C25" s="23" t="s">
        <v>14</v>
      </c>
      <c r="D25" s="23" t="s">
        <v>15</v>
      </c>
      <c r="E25" s="23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2" t="s">
        <v>21</v>
      </c>
      <c r="K25" s="2" t="s">
        <v>22</v>
      </c>
      <c r="L25" s="2" t="s">
        <v>23</v>
      </c>
    </row>
    <row r="26" spans="1:12" x14ac:dyDescent="0.2">
      <c r="A26" s="29" t="s">
        <v>42</v>
      </c>
      <c r="B26" s="11"/>
      <c r="C26" s="17" t="s">
        <v>43</v>
      </c>
      <c r="D26" s="17"/>
      <c r="E26" s="17" t="s">
        <v>44</v>
      </c>
      <c r="F26" s="25">
        <v>12</v>
      </c>
      <c r="G26" s="24">
        <v>8</v>
      </c>
      <c r="H26" s="24"/>
      <c r="I26" s="3">
        <f>L26*10</f>
        <v>20</v>
      </c>
      <c r="J26" s="24">
        <f>I26*1.5</f>
        <v>30</v>
      </c>
      <c r="K26" s="24">
        <f>I26+J26</f>
        <v>50</v>
      </c>
      <c r="L26" s="4">
        <v>2</v>
      </c>
    </row>
    <row r="27" spans="1:12" x14ac:dyDescent="0.2">
      <c r="A27" s="29"/>
      <c r="B27" s="11"/>
      <c r="C27" s="30" t="s">
        <v>45</v>
      </c>
      <c r="D27" s="18"/>
      <c r="E27" s="5" t="s">
        <v>46</v>
      </c>
      <c r="F27" s="24">
        <v>10</v>
      </c>
      <c r="G27" s="24">
        <v>10</v>
      </c>
      <c r="H27" s="24">
        <v>10</v>
      </c>
      <c r="I27" s="3">
        <f t="shared" ref="I27:I37" si="3">L27*10</f>
        <v>30</v>
      </c>
      <c r="J27" s="24">
        <f t="shared" ref="J27:J37" si="4">I27*1.5</f>
        <v>45</v>
      </c>
      <c r="K27" s="24">
        <f t="shared" ref="K27:K37" si="5">I27+J27</f>
        <v>75</v>
      </c>
      <c r="L27" s="4">
        <v>3</v>
      </c>
    </row>
    <row r="28" spans="1:12" x14ac:dyDescent="0.2">
      <c r="A28" s="29"/>
      <c r="B28" s="11"/>
      <c r="C28" s="31"/>
      <c r="D28" s="19"/>
      <c r="E28" s="13" t="s">
        <v>47</v>
      </c>
      <c r="F28" s="24">
        <v>8</v>
      </c>
      <c r="G28" s="24"/>
      <c r="H28" s="24">
        <v>12</v>
      </c>
      <c r="I28" s="3">
        <f t="shared" si="3"/>
        <v>20</v>
      </c>
      <c r="J28" s="24">
        <f t="shared" si="4"/>
        <v>30</v>
      </c>
      <c r="K28" s="24">
        <f t="shared" si="5"/>
        <v>50</v>
      </c>
      <c r="L28" s="4">
        <v>2</v>
      </c>
    </row>
    <row r="29" spans="1:12" x14ac:dyDescent="0.2">
      <c r="A29" s="29"/>
      <c r="B29" s="11"/>
      <c r="C29" s="32"/>
      <c r="D29" s="20"/>
      <c r="E29" s="5" t="s">
        <v>48</v>
      </c>
      <c r="F29" s="24">
        <v>12</v>
      </c>
      <c r="G29" s="24">
        <v>6</v>
      </c>
      <c r="H29" s="24">
        <v>12</v>
      </c>
      <c r="I29" s="3">
        <f t="shared" si="3"/>
        <v>30</v>
      </c>
      <c r="J29" s="24">
        <f t="shared" si="4"/>
        <v>45</v>
      </c>
      <c r="K29" s="24">
        <f t="shared" si="5"/>
        <v>75</v>
      </c>
      <c r="L29" s="4">
        <v>3</v>
      </c>
    </row>
    <row r="30" spans="1:12" x14ac:dyDescent="0.2">
      <c r="A30" s="29"/>
      <c r="B30" s="11"/>
      <c r="C30" s="13" t="s">
        <v>49</v>
      </c>
      <c r="D30" s="13"/>
      <c r="E30" s="13"/>
      <c r="F30" s="24">
        <v>12</v>
      </c>
      <c r="G30" s="24">
        <v>6</v>
      </c>
      <c r="H30" s="24">
        <v>12</v>
      </c>
      <c r="I30" s="3">
        <f t="shared" si="3"/>
        <v>30</v>
      </c>
      <c r="J30" s="24">
        <f t="shared" si="4"/>
        <v>45</v>
      </c>
      <c r="K30" s="24">
        <f t="shared" si="5"/>
        <v>75</v>
      </c>
      <c r="L30" s="4">
        <v>3</v>
      </c>
    </row>
    <row r="31" spans="1:12" x14ac:dyDescent="0.2">
      <c r="A31" s="29"/>
      <c r="B31" s="11"/>
      <c r="C31" s="33" t="s">
        <v>50</v>
      </c>
      <c r="D31" s="12"/>
      <c r="E31" s="13" t="s">
        <v>51</v>
      </c>
      <c r="F31" s="24">
        <v>8</v>
      </c>
      <c r="G31" s="24">
        <v>4</v>
      </c>
      <c r="H31" s="24">
        <v>8</v>
      </c>
      <c r="I31" s="3">
        <f t="shared" si="3"/>
        <v>20</v>
      </c>
      <c r="J31" s="24">
        <f t="shared" si="4"/>
        <v>30</v>
      </c>
      <c r="K31" s="24">
        <f t="shared" si="5"/>
        <v>50</v>
      </c>
      <c r="L31" s="4">
        <v>2</v>
      </c>
    </row>
    <row r="32" spans="1:12" x14ac:dyDescent="0.2">
      <c r="A32" s="29"/>
      <c r="B32" s="11"/>
      <c r="C32" s="34"/>
      <c r="D32" s="14"/>
      <c r="E32" s="13" t="s">
        <v>52</v>
      </c>
      <c r="F32" s="24">
        <v>16</v>
      </c>
      <c r="G32" s="24">
        <v>16</v>
      </c>
      <c r="H32" s="24">
        <v>8</v>
      </c>
      <c r="I32" s="3">
        <f t="shared" si="3"/>
        <v>40</v>
      </c>
      <c r="J32" s="24">
        <f t="shared" si="4"/>
        <v>60</v>
      </c>
      <c r="K32" s="24">
        <f t="shared" si="5"/>
        <v>100</v>
      </c>
      <c r="L32" s="4">
        <v>4</v>
      </c>
    </row>
    <row r="33" spans="1:12" x14ac:dyDescent="0.2">
      <c r="A33" s="29"/>
      <c r="B33" s="11"/>
      <c r="C33" s="33" t="s">
        <v>53</v>
      </c>
      <c r="D33" s="12"/>
      <c r="E33" s="13" t="s">
        <v>54</v>
      </c>
      <c r="F33" s="24">
        <v>8</v>
      </c>
      <c r="G33" s="24"/>
      <c r="H33" s="24">
        <v>12</v>
      </c>
      <c r="I33" s="3">
        <f t="shared" si="3"/>
        <v>20</v>
      </c>
      <c r="J33" s="24">
        <f t="shared" si="4"/>
        <v>30</v>
      </c>
      <c r="K33" s="24">
        <f t="shared" si="5"/>
        <v>50</v>
      </c>
      <c r="L33" s="4">
        <v>2</v>
      </c>
    </row>
    <row r="34" spans="1:12" x14ac:dyDescent="0.2">
      <c r="A34" s="29"/>
      <c r="B34" s="11"/>
      <c r="C34" s="34"/>
      <c r="D34" s="14"/>
      <c r="E34" s="13" t="s">
        <v>55</v>
      </c>
      <c r="F34" s="24">
        <v>8</v>
      </c>
      <c r="G34" s="24"/>
      <c r="H34" s="24">
        <v>12</v>
      </c>
      <c r="I34" s="3">
        <f t="shared" si="3"/>
        <v>20</v>
      </c>
      <c r="J34" s="24">
        <f t="shared" si="4"/>
        <v>30</v>
      </c>
      <c r="K34" s="24">
        <f t="shared" si="5"/>
        <v>50</v>
      </c>
      <c r="L34" s="4">
        <v>2</v>
      </c>
    </row>
    <row r="35" spans="1:12" x14ac:dyDescent="0.2">
      <c r="A35" s="29"/>
      <c r="B35" s="11"/>
      <c r="C35" s="13" t="s">
        <v>56</v>
      </c>
      <c r="D35" s="13"/>
      <c r="E35" s="13"/>
      <c r="F35" s="24">
        <v>18</v>
      </c>
      <c r="G35" s="24">
        <v>12</v>
      </c>
      <c r="H35" s="24"/>
      <c r="I35" s="3">
        <f t="shared" si="3"/>
        <v>30</v>
      </c>
      <c r="J35" s="24">
        <f t="shared" si="4"/>
        <v>45</v>
      </c>
      <c r="K35" s="24">
        <f t="shared" si="5"/>
        <v>75</v>
      </c>
      <c r="L35" s="4">
        <v>3</v>
      </c>
    </row>
    <row r="36" spans="1:12" x14ac:dyDescent="0.2">
      <c r="A36" s="29"/>
      <c r="B36" s="11"/>
      <c r="C36" s="26" t="s">
        <v>57</v>
      </c>
      <c r="D36" s="21"/>
      <c r="E36" s="6" t="s">
        <v>58</v>
      </c>
      <c r="F36" s="24">
        <v>8</v>
      </c>
      <c r="G36" s="24"/>
      <c r="H36" s="24">
        <v>12</v>
      </c>
      <c r="I36" s="3">
        <f t="shared" si="3"/>
        <v>20</v>
      </c>
      <c r="J36" s="24">
        <f t="shared" si="4"/>
        <v>30</v>
      </c>
      <c r="K36" s="24">
        <f t="shared" si="5"/>
        <v>50</v>
      </c>
      <c r="L36" s="4">
        <v>2</v>
      </c>
    </row>
    <row r="37" spans="1:12" x14ac:dyDescent="0.2">
      <c r="A37" s="29"/>
      <c r="B37" s="11"/>
      <c r="C37" s="13" t="s">
        <v>59</v>
      </c>
      <c r="D37" s="13"/>
      <c r="E37" s="13"/>
      <c r="F37" s="24"/>
      <c r="G37" s="24"/>
      <c r="H37" s="24">
        <v>20</v>
      </c>
      <c r="I37" s="3">
        <f t="shared" si="3"/>
        <v>20</v>
      </c>
      <c r="J37" s="24">
        <f t="shared" si="4"/>
        <v>30</v>
      </c>
      <c r="K37" s="24">
        <f t="shared" si="5"/>
        <v>50</v>
      </c>
      <c r="L37" s="4">
        <v>2</v>
      </c>
    </row>
    <row r="38" spans="1:12" x14ac:dyDescent="0.2">
      <c r="A38" s="16"/>
      <c r="B38" s="11"/>
      <c r="C38" s="10" t="s">
        <v>60</v>
      </c>
      <c r="D38" s="10"/>
      <c r="E38" s="10"/>
      <c r="F38" s="13"/>
      <c r="G38" s="13"/>
      <c r="H38" s="13"/>
      <c r="I38" s="3">
        <f>SUM(I26:I37)</f>
        <v>300</v>
      </c>
      <c r="J38" s="23">
        <f>SUM(J26:J37)</f>
        <v>450</v>
      </c>
      <c r="K38" s="23">
        <f>SUM(K26:K37)</f>
        <v>750</v>
      </c>
      <c r="L38" s="4">
        <f>SUM(L26:L37)</f>
        <v>30</v>
      </c>
    </row>
  </sheetData>
  <mergeCells count="9">
    <mergeCell ref="A26:A37"/>
    <mergeCell ref="C27:C29"/>
    <mergeCell ref="C31:C32"/>
    <mergeCell ref="C33:C34"/>
    <mergeCell ref="A10:A21"/>
    <mergeCell ref="C10:C11"/>
    <mergeCell ref="C13:C14"/>
    <mergeCell ref="C15:C16"/>
    <mergeCell ref="C18:C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Codjia</dc:creator>
  <cp:lastModifiedBy>Utilisateur</cp:lastModifiedBy>
  <dcterms:created xsi:type="dcterms:W3CDTF">2022-11-04T12:37:16Z</dcterms:created>
  <dcterms:modified xsi:type="dcterms:W3CDTF">2023-09-14T23:39:54Z</dcterms:modified>
</cp:coreProperties>
</file>