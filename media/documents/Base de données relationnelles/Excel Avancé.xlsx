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OURS ASSALE\B.D. cours\"/>
    </mc:Choice>
  </mc:AlternateContent>
  <xr:revisionPtr revIDLastSave="0" documentId="13_ncr:1_{929541A9-CE08-4BCA-AA6C-75F8F841C61F}" xr6:coauthVersionLast="45" xr6:coauthVersionMax="45" xr10:uidLastSave="{00000000-0000-0000-0000-000000000000}"/>
  <bookViews>
    <workbookView xWindow="2340" yWindow="330" windowWidth="17520" windowHeight="9885" activeTab="2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Feuil1!$A$1:$G$25</definedName>
    <definedName name="_xlcn.WorksheetConnection_Feuil1A1G251" hidden="1">Feuil1!$A$1:$G$25</definedName>
    <definedName name="_xlnm.Criteria" localSheetId="0">Feuil1!$I$26:$K$29</definedName>
    <definedName name="_xlnm.Extract" localSheetId="0">Feuil1!$J$33:$P$33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ge" name="Plage" connection="WorksheetConnection_Feuil1!$A$1:$G$2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2" l="1"/>
  <c r="C9" i="3" a="1"/>
  <c r="I6" i="3" a="1"/>
  <c r="F13" i="3" a="1"/>
  <c r="C9" i="3" l="1"/>
  <c r="I6" i="3"/>
  <c r="F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Feuil1!$A$1:$G$25" type="102" refreshedVersion="6" minRefreshableVersion="5">
    <extLst>
      <ext xmlns:x15="http://schemas.microsoft.com/office/spreadsheetml/2010/11/main" uri="{DE250136-89BD-433C-8126-D09CA5730AF9}">
        <x15:connection id="Plage">
          <x15:rangePr sourceName="_xlcn.WorksheetConnection_Feuil1A1G2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<sst xmlns="http://schemas.openxmlformats.org/spreadsheetml/2006/main" count="86" uniqueCount="46">
  <si>
    <t>DIPLÔME</t>
  </si>
  <si>
    <t>NOM</t>
  </si>
  <si>
    <t>ORGANISME</t>
  </si>
  <si>
    <t>HEURES</t>
  </si>
  <si>
    <t>TAUX</t>
  </si>
  <si>
    <t>HONORAIRE</t>
  </si>
  <si>
    <t>DATE</t>
  </si>
  <si>
    <t>Doctorat</t>
  </si>
  <si>
    <t>Assalé</t>
  </si>
  <si>
    <t>PNUD</t>
  </si>
  <si>
    <t>Adjé</t>
  </si>
  <si>
    <t>BAD</t>
  </si>
  <si>
    <t>Koffi</t>
  </si>
  <si>
    <t>World Bank</t>
  </si>
  <si>
    <t>N'Guessan</t>
  </si>
  <si>
    <t>Kouassi</t>
  </si>
  <si>
    <t>FMI</t>
  </si>
  <si>
    <t>D.E.A.</t>
  </si>
  <si>
    <t>Tanoh</t>
  </si>
  <si>
    <t>D.E.S.S.</t>
  </si>
  <si>
    <t>Allangba</t>
  </si>
  <si>
    <t>Ingénieur</t>
  </si>
  <si>
    <t>Konan</t>
  </si>
  <si>
    <t>Lopez</t>
  </si>
  <si>
    <t>Dupond</t>
  </si>
  <si>
    <t>Sarah</t>
  </si>
  <si>
    <t>Agnissan</t>
  </si>
  <si>
    <t>Diarra</t>
  </si>
  <si>
    <t>Kéita</t>
  </si>
  <si>
    <t>Comara</t>
  </si>
  <si>
    <t>Yapi</t>
  </si>
  <si>
    <t>Chaffa</t>
  </si>
  <si>
    <t>Assouvi</t>
  </si>
  <si>
    <t>Assane</t>
  </si>
  <si>
    <t>Camara</t>
  </si>
  <si>
    <t>Sallé</t>
  </si>
  <si>
    <t>Yao</t>
  </si>
  <si>
    <t>N'Cho</t>
  </si>
  <si>
    <t>Kidio</t>
  </si>
  <si>
    <t>Essai</t>
  </si>
  <si>
    <t>Montant</t>
  </si>
  <si>
    <t>Montant TTC</t>
  </si>
  <si>
    <t>Capital initial</t>
  </si>
  <si>
    <t>Taux Intérêt</t>
  </si>
  <si>
    <t>Durée</t>
  </si>
  <si>
    <t>Capital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</si>
</sst>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.5"/>
      <color rgb="FF000000"/>
      <name val="Arial"/>
      <family val="2"/>
    </font>
    <font>
      <sz val="11.5"/>
      <color rgb="FF000000"/>
      <name val="Arial"/>
      <family val="2"/>
    </font>
    <font>
      <sz val="13.5"/>
      <color theme="1"/>
      <name val="Times New Roman"/>
      <family val="1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14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P43"/>
  <sheetViews>
    <sheetView workbookViewId="0">
      <selection activeCell="D25" sqref="D2:D25"/>
    </sheetView>
  </sheetViews>
  <sheetFormatPr baseColWidth="10" defaultRowHeight="15" x14ac:dyDescent="0.25"/>
  <cols>
    <col min="3" max="3" width="14.42578125" customWidth="1"/>
    <col min="6" max="6" width="14" customWidth="1"/>
    <col min="9" max="9" width="14.7109375" customWidth="1"/>
    <col min="10" max="10" width="13.85546875" customWidth="1"/>
    <col min="11" max="11" width="1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10</v>
      </c>
      <c r="C2" s="2" t="s">
        <v>11</v>
      </c>
      <c r="D2" s="3">
        <v>5</v>
      </c>
      <c r="E2" s="4">
        <v>75000</v>
      </c>
      <c r="F2" s="4">
        <v>375000</v>
      </c>
      <c r="G2" s="5">
        <v>35806</v>
      </c>
    </row>
    <row r="3" spans="1:7" x14ac:dyDescent="0.25">
      <c r="A3" s="2" t="s">
        <v>21</v>
      </c>
      <c r="B3" s="2" t="s">
        <v>23</v>
      </c>
      <c r="C3" s="2" t="s">
        <v>11</v>
      </c>
      <c r="D3" s="3">
        <v>4</v>
      </c>
      <c r="E3" s="4">
        <v>50000</v>
      </c>
      <c r="F3" s="4">
        <v>200000</v>
      </c>
      <c r="G3" s="5">
        <v>35807</v>
      </c>
    </row>
    <row r="4" spans="1:7" x14ac:dyDescent="0.25">
      <c r="A4" s="2" t="s">
        <v>17</v>
      </c>
      <c r="B4" s="2" t="s">
        <v>26</v>
      </c>
      <c r="C4" s="2" t="s">
        <v>11</v>
      </c>
      <c r="D4" s="3">
        <v>4</v>
      </c>
      <c r="E4" s="4">
        <v>60000</v>
      </c>
      <c r="F4" s="4">
        <v>240000</v>
      </c>
      <c r="G4" s="5">
        <v>35808</v>
      </c>
    </row>
    <row r="5" spans="1:7" x14ac:dyDescent="0.25">
      <c r="A5" s="2" t="s">
        <v>7</v>
      </c>
      <c r="B5" s="2" t="s">
        <v>30</v>
      </c>
      <c r="C5" s="2" t="s">
        <v>11</v>
      </c>
      <c r="D5" s="3">
        <v>10</v>
      </c>
      <c r="E5" s="4">
        <v>75000</v>
      </c>
      <c r="F5" s="4">
        <v>750000</v>
      </c>
      <c r="G5" s="5">
        <v>35809</v>
      </c>
    </row>
    <row r="6" spans="1:7" x14ac:dyDescent="0.25">
      <c r="A6" s="2" t="s">
        <v>17</v>
      </c>
      <c r="B6" s="2" t="s">
        <v>32</v>
      </c>
      <c r="C6" s="2" t="s">
        <v>11</v>
      </c>
      <c r="D6" s="3">
        <v>7</v>
      </c>
      <c r="E6" s="4">
        <v>60000</v>
      </c>
      <c r="F6" s="4">
        <v>420000</v>
      </c>
      <c r="G6" s="5">
        <v>35810</v>
      </c>
    </row>
    <row r="7" spans="1:7" x14ac:dyDescent="0.25">
      <c r="A7" s="2" t="s">
        <v>21</v>
      </c>
      <c r="B7" s="2" t="s">
        <v>38</v>
      </c>
      <c r="C7" s="2" t="s">
        <v>11</v>
      </c>
      <c r="D7" s="3">
        <v>6</v>
      </c>
      <c r="E7" s="4">
        <v>50000</v>
      </c>
      <c r="F7" s="4">
        <v>300000</v>
      </c>
      <c r="G7" s="5">
        <v>35811</v>
      </c>
    </row>
    <row r="8" spans="1:7" x14ac:dyDescent="0.25">
      <c r="A8" s="2" t="s">
        <v>7</v>
      </c>
      <c r="B8" s="2" t="s">
        <v>15</v>
      </c>
      <c r="C8" s="2" t="s">
        <v>16</v>
      </c>
      <c r="D8" s="3">
        <v>7</v>
      </c>
      <c r="E8" s="4">
        <v>125000</v>
      </c>
      <c r="F8" s="4">
        <v>875000</v>
      </c>
      <c r="G8" s="5">
        <v>35806</v>
      </c>
    </row>
    <row r="9" spans="1:7" x14ac:dyDescent="0.25">
      <c r="A9" s="2" t="s">
        <v>21</v>
      </c>
      <c r="B9" s="2" t="s">
        <v>24</v>
      </c>
      <c r="C9" s="2" t="s">
        <v>16</v>
      </c>
      <c r="D9" s="3">
        <v>10</v>
      </c>
      <c r="E9" s="4">
        <v>100000</v>
      </c>
      <c r="F9" s="4">
        <v>1000000</v>
      </c>
      <c r="G9" s="5">
        <v>35808</v>
      </c>
    </row>
    <row r="10" spans="1:7" x14ac:dyDescent="0.25">
      <c r="A10" s="2" t="s">
        <v>17</v>
      </c>
      <c r="B10" s="2" t="s">
        <v>27</v>
      </c>
      <c r="C10" s="2" t="s">
        <v>16</v>
      </c>
      <c r="D10" s="3">
        <v>5</v>
      </c>
      <c r="E10" s="4">
        <v>100000</v>
      </c>
      <c r="F10" s="4">
        <v>500000</v>
      </c>
      <c r="G10" s="5">
        <v>35809</v>
      </c>
    </row>
    <row r="11" spans="1:7" x14ac:dyDescent="0.25">
      <c r="A11" s="2" t="s">
        <v>21</v>
      </c>
      <c r="B11" s="2" t="s">
        <v>28</v>
      </c>
      <c r="C11" s="2" t="s">
        <v>16</v>
      </c>
      <c r="D11" s="3">
        <v>10</v>
      </c>
      <c r="E11" s="4">
        <v>100000</v>
      </c>
      <c r="F11" s="4">
        <v>1000000</v>
      </c>
      <c r="G11" s="5">
        <v>35809</v>
      </c>
    </row>
    <row r="12" spans="1:7" x14ac:dyDescent="0.25">
      <c r="A12" s="2" t="s">
        <v>7</v>
      </c>
      <c r="B12" s="2" t="s">
        <v>34</v>
      </c>
      <c r="C12" s="2" t="s">
        <v>16</v>
      </c>
      <c r="D12" s="3">
        <v>5</v>
      </c>
      <c r="E12" s="4">
        <v>125000</v>
      </c>
      <c r="F12" s="4">
        <v>625000</v>
      </c>
      <c r="G12" s="5">
        <v>35811</v>
      </c>
    </row>
    <row r="13" spans="1:7" x14ac:dyDescent="0.25">
      <c r="A13" s="2" t="s">
        <v>17</v>
      </c>
      <c r="B13" s="2" t="s">
        <v>37</v>
      </c>
      <c r="C13" s="2" t="s">
        <v>16</v>
      </c>
      <c r="D13" s="3">
        <v>8</v>
      </c>
      <c r="E13" s="4">
        <v>100000</v>
      </c>
      <c r="F13" s="4">
        <v>800000</v>
      </c>
      <c r="G13" s="5">
        <v>35811</v>
      </c>
    </row>
    <row r="14" spans="1:7" x14ac:dyDescent="0.25">
      <c r="A14" s="2" t="s">
        <v>7</v>
      </c>
      <c r="B14" s="2" t="s">
        <v>8</v>
      </c>
      <c r="C14" s="2" t="s">
        <v>9</v>
      </c>
      <c r="D14" s="3">
        <v>10</v>
      </c>
      <c r="E14" s="4">
        <v>100000</v>
      </c>
      <c r="F14" s="4">
        <v>1000000</v>
      </c>
      <c r="G14" s="5">
        <v>35806</v>
      </c>
    </row>
    <row r="15" spans="1:7" x14ac:dyDescent="0.25">
      <c r="A15" s="2" t="s">
        <v>7</v>
      </c>
      <c r="B15" s="2" t="s">
        <v>14</v>
      </c>
      <c r="C15" s="2" t="s">
        <v>9</v>
      </c>
      <c r="D15" s="3">
        <v>15</v>
      </c>
      <c r="E15" s="4">
        <v>100000</v>
      </c>
      <c r="F15" s="4">
        <v>1500000</v>
      </c>
      <c r="G15" s="5">
        <v>35806</v>
      </c>
    </row>
    <row r="16" spans="1:7" x14ac:dyDescent="0.25">
      <c r="A16" s="2" t="s">
        <v>21</v>
      </c>
      <c r="B16" s="2" t="s">
        <v>22</v>
      </c>
      <c r="C16" s="2" t="s">
        <v>9</v>
      </c>
      <c r="D16" s="3">
        <v>7</v>
      </c>
      <c r="E16" s="4">
        <v>75000</v>
      </c>
      <c r="F16" s="4">
        <v>525000</v>
      </c>
      <c r="G16" s="5">
        <v>35807</v>
      </c>
    </row>
    <row r="17" spans="1:11" x14ac:dyDescent="0.25">
      <c r="A17" s="2" t="s">
        <v>21</v>
      </c>
      <c r="B17" s="2" t="s">
        <v>25</v>
      </c>
      <c r="C17" s="2" t="s">
        <v>9</v>
      </c>
      <c r="D17" s="3">
        <v>6</v>
      </c>
      <c r="E17" s="4">
        <v>75000</v>
      </c>
      <c r="F17" s="4">
        <v>450000</v>
      </c>
      <c r="G17" s="5">
        <v>35808</v>
      </c>
    </row>
    <row r="18" spans="1:11" x14ac:dyDescent="0.25">
      <c r="A18" s="2" t="s">
        <v>17</v>
      </c>
      <c r="B18" s="2" t="s">
        <v>31</v>
      </c>
      <c r="C18" s="2" t="s">
        <v>9</v>
      </c>
      <c r="D18" s="3">
        <v>8</v>
      </c>
      <c r="E18" s="4">
        <v>100000</v>
      </c>
      <c r="F18" s="4">
        <v>800000</v>
      </c>
      <c r="G18" s="5">
        <v>35810</v>
      </c>
    </row>
    <row r="19" spans="1:11" x14ac:dyDescent="0.25">
      <c r="A19" s="2" t="s">
        <v>17</v>
      </c>
      <c r="B19" s="2" t="s">
        <v>35</v>
      </c>
      <c r="C19" s="2" t="s">
        <v>9</v>
      </c>
      <c r="D19" s="3">
        <v>7</v>
      </c>
      <c r="E19" s="4">
        <v>100000</v>
      </c>
      <c r="F19" s="4">
        <v>700000</v>
      </c>
      <c r="G19" s="5">
        <v>35811</v>
      </c>
    </row>
    <row r="20" spans="1:11" x14ac:dyDescent="0.25">
      <c r="A20" s="2" t="s">
        <v>7</v>
      </c>
      <c r="B20" s="2" t="s">
        <v>12</v>
      </c>
      <c r="C20" s="2" t="s">
        <v>13</v>
      </c>
      <c r="D20" s="3">
        <v>15</v>
      </c>
      <c r="E20" s="4">
        <v>100000</v>
      </c>
      <c r="F20" s="4">
        <v>1500000</v>
      </c>
      <c r="G20" s="5">
        <v>35806</v>
      </c>
    </row>
    <row r="21" spans="1:11" x14ac:dyDescent="0.25">
      <c r="A21" s="2" t="s">
        <v>17</v>
      </c>
      <c r="B21" s="2" t="s">
        <v>18</v>
      </c>
      <c r="C21" s="2" t="s">
        <v>13</v>
      </c>
      <c r="D21" s="3">
        <v>8</v>
      </c>
      <c r="E21" s="4">
        <v>50000</v>
      </c>
      <c r="F21" s="4">
        <v>400000</v>
      </c>
      <c r="G21" s="5">
        <v>35807</v>
      </c>
    </row>
    <row r="22" spans="1:11" x14ac:dyDescent="0.25">
      <c r="A22" s="2" t="s">
        <v>19</v>
      </c>
      <c r="B22" s="2" t="s">
        <v>20</v>
      </c>
      <c r="C22" s="2" t="s">
        <v>13</v>
      </c>
      <c r="D22" s="3">
        <v>4</v>
      </c>
      <c r="E22" s="4">
        <v>50000</v>
      </c>
      <c r="F22" s="4">
        <v>200000</v>
      </c>
      <c r="G22" s="5">
        <v>35807</v>
      </c>
    </row>
    <row r="23" spans="1:11" x14ac:dyDescent="0.25">
      <c r="A23" s="2" t="s">
        <v>7</v>
      </c>
      <c r="B23" s="2" t="s">
        <v>29</v>
      </c>
      <c r="C23" s="2" t="s">
        <v>13</v>
      </c>
      <c r="D23" s="3">
        <v>15</v>
      </c>
      <c r="E23" s="4">
        <v>100000</v>
      </c>
      <c r="F23" s="4">
        <v>1500000</v>
      </c>
      <c r="G23" s="5">
        <v>35809</v>
      </c>
    </row>
    <row r="24" spans="1:11" x14ac:dyDescent="0.25">
      <c r="A24" s="2" t="s">
        <v>21</v>
      </c>
      <c r="B24" s="2" t="s">
        <v>33</v>
      </c>
      <c r="C24" s="2" t="s">
        <v>13</v>
      </c>
      <c r="D24" s="3">
        <v>4</v>
      </c>
      <c r="E24" s="4">
        <v>50000</v>
      </c>
      <c r="F24" s="4">
        <v>200000</v>
      </c>
      <c r="G24" s="5">
        <v>35810</v>
      </c>
    </row>
    <row r="25" spans="1:11" x14ac:dyDescent="0.25">
      <c r="A25" s="2" t="s">
        <v>21</v>
      </c>
      <c r="B25" s="2" t="s">
        <v>36</v>
      </c>
      <c r="C25" s="2" t="s">
        <v>13</v>
      </c>
      <c r="D25" s="3">
        <v>6</v>
      </c>
      <c r="E25" s="4">
        <v>50000</v>
      </c>
      <c r="F25" s="4">
        <v>300000</v>
      </c>
      <c r="G25" s="5">
        <v>35811</v>
      </c>
    </row>
    <row r="26" spans="1:11" ht="20.25" customHeight="1" x14ac:dyDescent="0.25">
      <c r="A26" s="6"/>
      <c r="I26" s="1"/>
      <c r="J26" s="1"/>
      <c r="K26" s="1"/>
    </row>
    <row r="27" spans="1:11" x14ac:dyDescent="0.25">
      <c r="J27" s="7"/>
      <c r="K27" s="7"/>
    </row>
    <row r="28" spans="1:11" x14ac:dyDescent="0.25">
      <c r="J28" s="7"/>
      <c r="K28" s="7"/>
    </row>
    <row r="29" spans="1:11" x14ac:dyDescent="0.25">
      <c r="J29" s="7"/>
      <c r="K29" s="7"/>
    </row>
    <row r="33" spans="10:16" x14ac:dyDescent="0.25">
      <c r="J33" s="1"/>
      <c r="K33" s="1"/>
      <c r="L33" s="1"/>
      <c r="M33" s="1"/>
      <c r="N33" s="1"/>
      <c r="O33" s="1"/>
      <c r="P33" s="1"/>
    </row>
    <row r="34" spans="10:16" x14ac:dyDescent="0.25">
      <c r="J34" s="2"/>
      <c r="K34" s="2"/>
      <c r="L34" s="2"/>
      <c r="M34" s="3"/>
      <c r="N34" s="4"/>
      <c r="O34" s="4"/>
      <c r="P34" s="5"/>
    </row>
    <row r="35" spans="10:16" x14ac:dyDescent="0.25">
      <c r="J35" s="2"/>
      <c r="K35" s="2"/>
      <c r="L35" s="2"/>
      <c r="M35" s="3"/>
      <c r="N35" s="4"/>
      <c r="O35" s="4"/>
      <c r="P35" s="5"/>
    </row>
    <row r="36" spans="10:16" x14ac:dyDescent="0.25">
      <c r="J36" s="2"/>
      <c r="K36" s="2"/>
      <c r="L36" s="2"/>
      <c r="M36" s="3"/>
      <c r="N36" s="4"/>
      <c r="O36" s="4"/>
      <c r="P36" s="5"/>
    </row>
    <row r="37" spans="10:16" x14ac:dyDescent="0.25">
      <c r="J37" s="2"/>
      <c r="K37" s="2"/>
      <c r="L37" s="2"/>
      <c r="M37" s="3"/>
      <c r="N37" s="4"/>
      <c r="O37" s="4"/>
      <c r="P37" s="5"/>
    </row>
    <row r="38" spans="10:16" x14ac:dyDescent="0.25">
      <c r="J38" s="2"/>
      <c r="K38" s="2"/>
      <c r="L38" s="2"/>
      <c r="M38" s="3"/>
      <c r="N38" s="4"/>
      <c r="O38" s="4"/>
      <c r="P38" s="5"/>
    </row>
    <row r="39" spans="10:16" x14ac:dyDescent="0.25">
      <c r="J39" s="2"/>
      <c r="K39" s="2"/>
      <c r="L39" s="2"/>
      <c r="M39" s="3"/>
      <c r="N39" s="4"/>
      <c r="O39" s="4"/>
      <c r="P39" s="5"/>
    </row>
    <row r="40" spans="10:16" x14ac:dyDescent="0.25">
      <c r="J40" s="2"/>
      <c r="K40" s="2"/>
      <c r="L40" s="2"/>
      <c r="M40" s="3"/>
      <c r="N40" s="4"/>
      <c r="O40" s="4"/>
      <c r="P40" s="5"/>
    </row>
    <row r="41" spans="10:16" x14ac:dyDescent="0.25">
      <c r="J41" s="2"/>
      <c r="K41" s="2"/>
      <c r="L41" s="2"/>
      <c r="M41" s="3"/>
      <c r="N41" s="4"/>
      <c r="O41" s="4"/>
      <c r="P41" s="5"/>
    </row>
    <row r="42" spans="10:16" x14ac:dyDescent="0.25">
      <c r="J42" s="2"/>
      <c r="K42" s="2"/>
      <c r="L42" s="2"/>
      <c r="M42" s="3"/>
      <c r="N42" s="4"/>
      <c r="O42" s="4"/>
      <c r="P42" s="5"/>
    </row>
    <row r="43" spans="10:16" x14ac:dyDescent="0.25">
      <c r="J43" s="2"/>
      <c r="K43" s="2"/>
      <c r="L43" s="2"/>
      <c r="M43" s="3"/>
      <c r="N43" s="4"/>
      <c r="O43" s="4"/>
      <c r="P43" s="5"/>
    </row>
  </sheetData>
  <sortState xmlns:xlrd2="http://schemas.microsoft.com/office/spreadsheetml/2017/richdata2" ref="A2:G25">
    <sortCondition ref="C2:C25"/>
  </sortState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D577-3676-46FE-B390-A7A687E02675}">
  <sheetPr codeName="Feuil2"/>
  <dimension ref="C6:F8"/>
  <sheetViews>
    <sheetView workbookViewId="0">
      <selection activeCell="F8" sqref="F8"/>
    </sheetView>
  </sheetViews>
  <sheetFormatPr baseColWidth="10" defaultRowHeight="15" x14ac:dyDescent="0.25"/>
  <sheetData>
    <row r="6" spans="3:6" x14ac:dyDescent="0.25">
      <c r="C6" t="s">
        <v>39</v>
      </c>
    </row>
    <row r="8" spans="3:6" x14ac:dyDescent="0.25">
      <c r="F8" s="8">
        <f ca="1">TODAY()</f>
        <v>43945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A5F1-87F6-4275-BB19-DFD89D5774CD}">
  <sheetPr codeName="Feuil3"/>
  <dimension ref="B5:I13"/>
  <sheetViews>
    <sheetView tabSelected="1" workbookViewId="0">
      <selection activeCell="C9" sqref="C9"/>
    </sheetView>
  </sheetViews>
  <sheetFormatPr baseColWidth="10" defaultRowHeight="15" x14ac:dyDescent="0.25"/>
  <sheetData>
    <row r="5" spans="2:9" x14ac:dyDescent="0.25">
      <c r="E5">
        <v>4</v>
      </c>
      <c r="H5" t="s">
        <v>40</v>
      </c>
      <c r="I5">
        <v>100000</v>
      </c>
    </row>
    <row r="6" spans="2:9" x14ac:dyDescent="0.25">
      <c r="B6" t="s">
        <v>42</v>
      </c>
      <c r="C6">
        <v>100000</v>
      </c>
      <c r="H6" t="s">
        <v>41</v>
      </c>
      <c r="I6" cm="1">
        <f t="array" ref="I6">MontTTC(I5)</f>
        <v>120000</v>
      </c>
    </row>
    <row r="7" spans="2:9" x14ac:dyDescent="0.25">
      <c r="B7" t="s">
        <v>43</v>
      </c>
      <c r="C7" s="9">
        <v>0.06</v>
      </c>
    </row>
    <row r="8" spans="2:9" x14ac:dyDescent="0.25">
      <c r="B8" t="s">
        <v>44</v>
      </c>
      <c r="C8">
        <v>5</v>
      </c>
    </row>
    <row r="9" spans="2:9" x14ac:dyDescent="0.25">
      <c r="B9" t="s">
        <v>45</v>
      </c>
      <c r="C9" cm="1">
        <f t="array" ref="C9">KF(C6,C7,C8)</f>
        <v>133822.55776000003</v>
      </c>
    </row>
    <row r="13" spans="2:9" x14ac:dyDescent="0.25">
      <c r="F13" cm="1">
        <f t="array" ref="F13">SurfaceCercle(E5)</f>
        <v>50.26548245743669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DD560DD-1466-46F6-803E-4468F76B437D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C67E3C0-0CF7-42D1-A655-F8EA429CC088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Feuil1</vt:lpstr>
      <vt:lpstr>Feuil2</vt:lpstr>
      <vt:lpstr>Feuil3</vt:lpstr>
      <vt:lpstr>Feuil1!Criteres</vt:lpstr>
      <vt:lpstr>Feuil1!Extraire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assale</dc:creator>
  <cp:lastModifiedBy>assale</cp:lastModifiedBy>
  <dcterms:created xsi:type="dcterms:W3CDTF">2020-04-02T18:22:32Z</dcterms:created>
  <dcterms:modified xsi:type="dcterms:W3CDTF">2020-04-24T10:40:18Z</dcterms:modified>
</cp:coreProperties>
</file>